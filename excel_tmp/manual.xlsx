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mu\Videos\SKIRPSI SAYA IMAM ARIFIN\"/>
    </mc:Choice>
  </mc:AlternateContent>
  <xr:revisionPtr revIDLastSave="0" documentId="13_ncr:1_{A967F8C8-7F31-4C85-964F-7B5A8318B3BC}" xr6:coauthVersionLast="47" xr6:coauthVersionMax="47" xr10:uidLastSave="{00000000-0000-0000-0000-000000000000}"/>
  <bookViews>
    <workbookView xWindow="5115" yWindow="3015" windowWidth="15375" windowHeight="7785" firstSheet="1" activeTab="2" xr2:uid="{E649C6E0-9FA2-40DF-8E64-79BFFC171B9A}"/>
  </bookViews>
  <sheets>
    <sheet name="STEP 1 MENENTUKAN ALTERNATIF, K" sheetId="1" r:id="rId1"/>
    <sheet name="MENYUSUN MATRIK KEPUTUSAN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2" l="1"/>
  <c r="G10" i="2"/>
  <c r="C20" i="2"/>
  <c r="M27" i="3"/>
  <c r="M26" i="3"/>
  <c r="M25" i="3"/>
  <c r="M28" i="3" s="1"/>
  <c r="K18" i="3"/>
  <c r="B18" i="3"/>
  <c r="E12" i="3"/>
  <c r="E20" i="3" s="1"/>
  <c r="E11" i="3"/>
  <c r="E19" i="3" s="1"/>
  <c r="E10" i="3"/>
  <c r="E18" i="3" s="1"/>
  <c r="G11" i="2"/>
  <c r="I27" i="2"/>
  <c r="B16" i="3"/>
  <c r="G18" i="3"/>
  <c r="G13" i="2"/>
  <c r="G23" i="2"/>
  <c r="G24" i="2"/>
  <c r="G10" i="3"/>
  <c r="G14" i="3"/>
  <c r="G22" i="3" s="1"/>
  <c r="G13" i="3"/>
  <c r="G21" i="3" s="1"/>
  <c r="G12" i="3"/>
  <c r="G20" i="3" s="1"/>
  <c r="F14" i="3"/>
  <c r="F22" i="3" s="1"/>
  <c r="F13" i="3"/>
  <c r="F21" i="3" s="1"/>
  <c r="F12" i="3"/>
  <c r="F20" i="3" s="1"/>
  <c r="E14" i="3"/>
  <c r="E22" i="3" s="1"/>
  <c r="E13" i="3"/>
  <c r="E21" i="3" s="1"/>
  <c r="G11" i="3"/>
  <c r="G19" i="3" s="1"/>
  <c r="F11" i="3"/>
  <c r="F19" i="3" s="1"/>
  <c r="F10" i="3"/>
  <c r="F18" i="3" s="1"/>
  <c r="B17" i="3"/>
  <c r="J18" i="3" l="1"/>
  <c r="F28" i="3" s="1"/>
  <c r="I18" i="3"/>
  <c r="E30" i="3" s="1"/>
  <c r="G28" i="3"/>
  <c r="G27" i="3"/>
  <c r="G30" i="3"/>
  <c r="G29" i="3"/>
  <c r="B20" i="2"/>
  <c r="B15" i="2"/>
  <c r="G27" i="2"/>
  <c r="M16" i="2"/>
  <c r="N25" i="2" s="1"/>
  <c r="V4" i="2"/>
  <c r="V3" i="2"/>
  <c r="V2" i="2"/>
  <c r="V5" i="2" s="1"/>
  <c r="G38" i="2"/>
  <c r="G37" i="2"/>
  <c r="G36" i="2"/>
  <c r="G41" i="2"/>
  <c r="G40" i="2"/>
  <c r="G39" i="2"/>
  <c r="G35" i="2"/>
  <c r="G34" i="2"/>
  <c r="G33" i="2"/>
  <c r="G32" i="2"/>
  <c r="G31" i="2"/>
  <c r="G30" i="2"/>
  <c r="G29" i="2"/>
  <c r="G28" i="2"/>
  <c r="M17" i="2"/>
  <c r="O24" i="2" s="1"/>
  <c r="G22" i="2"/>
  <c r="B17" i="2"/>
  <c r="B27" i="2" s="1"/>
  <c r="B16" i="2"/>
  <c r="B26" i="2" s="1"/>
  <c r="B25" i="1"/>
  <c r="B24" i="1"/>
  <c r="B23" i="1"/>
  <c r="B26" i="1" s="1"/>
  <c r="B20" i="1"/>
  <c r="F27" i="3" l="1"/>
  <c r="F30" i="3"/>
  <c r="K30" i="3" s="1"/>
  <c r="F29" i="3"/>
  <c r="F26" i="3"/>
  <c r="E26" i="3"/>
  <c r="E29" i="3"/>
  <c r="K29" i="3" s="1"/>
  <c r="E28" i="3"/>
  <c r="K28" i="3" s="1"/>
  <c r="E27" i="3"/>
  <c r="O22" i="2"/>
  <c r="O25" i="2"/>
  <c r="O21" i="2"/>
  <c r="O23" i="2"/>
  <c r="N24" i="2"/>
  <c r="M22" i="2"/>
  <c r="M21" i="2"/>
  <c r="G26" i="3"/>
  <c r="N23" i="2"/>
  <c r="N21" i="2"/>
  <c r="N22" i="2"/>
  <c r="M23" i="2"/>
  <c r="M24" i="2"/>
  <c r="S7" i="2" s="1"/>
  <c r="M25" i="2"/>
  <c r="G16" i="2"/>
  <c r="G19" i="2"/>
  <c r="B25" i="2"/>
  <c r="B22" i="2"/>
  <c r="B21" i="2"/>
  <c r="K26" i="3" l="1"/>
  <c r="K27" i="3"/>
  <c r="S6" i="2"/>
  <c r="S3" i="2"/>
  <c r="S4" i="2"/>
  <c r="S5" i="2"/>
  <c r="G14" i="2"/>
  <c r="G20" i="2"/>
  <c r="G17" i="2"/>
  <c r="G15" i="2"/>
  <c r="G21" i="2"/>
  <c r="G12" i="2"/>
  <c r="G18" i="2"/>
</calcChain>
</file>

<file path=xl/sharedStrings.xml><?xml version="1.0" encoding="utf-8"?>
<sst xmlns="http://schemas.openxmlformats.org/spreadsheetml/2006/main" count="235" uniqueCount="81">
  <si>
    <t>Kode</t>
  </si>
  <si>
    <t>Jurusan</t>
  </si>
  <si>
    <t>A1</t>
  </si>
  <si>
    <t>A2</t>
  </si>
  <si>
    <t>A3</t>
  </si>
  <si>
    <t>A4</t>
  </si>
  <si>
    <t>A5</t>
  </si>
  <si>
    <t>Agroteknologi</t>
  </si>
  <si>
    <t>Sistem Informasi</t>
  </si>
  <si>
    <t>Teknik Elektro</t>
  </si>
  <si>
    <t>Teknik Mesin</t>
  </si>
  <si>
    <t>Teknik Informatika</t>
  </si>
  <si>
    <t>MENENTUKAN ALTERNATIF</t>
  </si>
  <si>
    <t>MENENTUKAN KRITERIA</t>
  </si>
  <si>
    <t>Kriteria</t>
  </si>
  <si>
    <t>C1</t>
  </si>
  <si>
    <t>C2</t>
  </si>
  <si>
    <t>C3</t>
  </si>
  <si>
    <t>Psikotes</t>
  </si>
  <si>
    <t>Minat dan Bakat</t>
  </si>
  <si>
    <t>Pengetahuan Kognitif</t>
  </si>
  <si>
    <t>MENENTUKAN BOBOT</t>
  </si>
  <si>
    <t>Nilai Kepentingan</t>
  </si>
  <si>
    <t>Total</t>
  </si>
  <si>
    <t>MENGHITUNG BOBOT SAW</t>
  </si>
  <si>
    <t>Bobot C1</t>
  </si>
  <si>
    <t>Bobot C2</t>
  </si>
  <si>
    <t>Bobot C3</t>
  </si>
  <si>
    <t>"di peroleh dari validasi masing-masing ahli</t>
  </si>
  <si>
    <t>Alternatif</t>
  </si>
  <si>
    <t>MENCARI NILAI MAKSIMUM</t>
  </si>
  <si>
    <t>Rumus SAW untuk benefit</t>
  </si>
  <si>
    <t>ALTERNATIF (KODE)</t>
  </si>
  <si>
    <t>Teknik Informatika (A1)</t>
  </si>
  <si>
    <t>Teknik Mesin (A2)</t>
  </si>
  <si>
    <t>Teknik Elektro (A3)</t>
  </si>
  <si>
    <t>DATA AWAL</t>
  </si>
  <si>
    <t>DATA KUESIONER SISWA ABDUL AZIZ</t>
  </si>
  <si>
    <t>Nilai</t>
  </si>
  <si>
    <t>C3 (Psikotes)</t>
  </si>
  <si>
    <t>C2 (Minat dan Bakat)</t>
  </si>
  <si>
    <t>C1 (Pengetahuan Kognitif</t>
  </si>
  <si>
    <t>NILAI MAKSIMAL KUESIONER</t>
  </si>
  <si>
    <t xml:space="preserve">Maksimal </t>
  </si>
  <si>
    <t>KONVERSI KE NILAI 0 -100</t>
  </si>
  <si>
    <t>KONVERSI KE SKALA 5</t>
  </si>
  <si>
    <t>PROFIL ABDUL AZIZ</t>
  </si>
  <si>
    <t>MENGHITUNG GAP</t>
  </si>
  <si>
    <t>TEKNIK INFORMATIKA</t>
  </si>
  <si>
    <t>TEKNIK MESIN</t>
  </si>
  <si>
    <t>TEKNIK ELEKTRO</t>
  </si>
  <si>
    <t>SISTEM INFORMASI</t>
  </si>
  <si>
    <t>AGROTEKNOLOGI</t>
  </si>
  <si>
    <t>MENGHITUNG NILAI KECOCOKAN</t>
  </si>
  <si>
    <t>Rumus:</t>
  </si>
  <si>
    <t>MATRIKS KEPUTUSAN X</t>
  </si>
  <si>
    <t>MENGHITUNG NILAI PREFERENSI</t>
  </si>
  <si>
    <t>Rangking</t>
  </si>
  <si>
    <t>jurusan</t>
  </si>
  <si>
    <t>Nilai Preferensi</t>
  </si>
  <si>
    <t>Teknik informatika</t>
  </si>
  <si>
    <t>Ranking</t>
  </si>
  <si>
    <t>FINAL RANGKING</t>
  </si>
  <si>
    <t>Agroteknologi (A4)</t>
  </si>
  <si>
    <t>Sistem Informasi (5)</t>
  </si>
  <si>
    <t>HASIL NORMALISASI MATRIKS</t>
  </si>
  <si>
    <t>DATA KUESIONER SISWA AHMAD ZIDAN</t>
  </si>
  <si>
    <t>KONVERSI SKALA 5/NILAI SISWA</t>
  </si>
  <si>
    <t>teknik mesin</t>
  </si>
  <si>
    <t>teknik elektro</t>
  </si>
  <si>
    <t>sistem informasi</t>
  </si>
  <si>
    <t>agroteknologi</t>
  </si>
  <si>
    <t>c1</t>
  </si>
  <si>
    <t>c2</t>
  </si>
  <si>
    <t>c3</t>
  </si>
  <si>
    <t>ALTENATIF</t>
  </si>
  <si>
    <t>MENCARI NILAI MAX DARI MATRIKS KEPUTUSAN</t>
  </si>
  <si>
    <t>NORMALISASI MATRIKS KEPUTUSAN</t>
  </si>
  <si>
    <t>ALTERNATIF</t>
  </si>
  <si>
    <t>HASIL DARI MENGHITUNG MATRIKS KEPUTUSAN</t>
  </si>
  <si>
    <t>Preferensi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</si>
</sst>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1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5" fontId="0" fillId="0" borderId="0" xfId="0" applyNumberFormat="1"/>
    <xf numFmtId="165" fontId="0" fillId="3" borderId="1" xfId="0" applyNumberFormat="1" applyFill="1" applyBorder="1"/>
    <xf numFmtId="165" fontId="0" fillId="3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165" fontId="0" fillId="11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0" fontId="0" fillId="12" borderId="1" xfId="0" applyFill="1" applyBorder="1"/>
    <xf numFmtId="165" fontId="0" fillId="12" borderId="1" xfId="0" applyNumberFormat="1" applyFill="1" applyBorder="1"/>
    <xf numFmtId="0" fontId="0" fillId="13" borderId="1" xfId="0" applyFill="1" applyBorder="1"/>
    <xf numFmtId="165" fontId="0" fillId="13" borderId="1" xfId="0" applyNumberFormat="1" applyFill="1" applyBorder="1"/>
    <xf numFmtId="165" fontId="0" fillId="3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4" xfId="0" applyBorder="1" applyAlignment="1"/>
    <xf numFmtId="0" fontId="0" fillId="0" borderId="0" xfId="0" applyAlignment="1"/>
    <xf numFmtId="0" fontId="0" fillId="0" borderId="0" xfId="0" applyBorder="1" applyAlignment="1"/>
    <xf numFmtId="0" fontId="1" fillId="7" borderId="0" xfId="0" applyFont="1" applyFill="1" applyAlignment="1">
      <alignment horizontal="center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/>
    <xf numFmtId="0" fontId="0" fillId="0" borderId="0" xfId="0" applyFill="1" applyBorder="1"/>
    <xf numFmtId="0" fontId="1" fillId="4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5" fontId="0" fillId="9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vertical="center" wrapText="1"/>
    </xf>
    <xf numFmtId="0" fontId="0" fillId="4" borderId="0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14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164629</xdr:colOff>
      <xdr:row>1</xdr:row>
      <xdr:rowOff>107302</xdr:rowOff>
    </xdr:from>
    <xdr:ext cx="1453319" cy="5175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BC6BC1-419B-4CDF-BE61-7420C8453C7C}"/>
                </a:ext>
              </a:extLst>
            </xdr:cNvPr>
            <xdr:cNvSpPr txBox="1"/>
          </xdr:nvSpPr>
          <xdr:spPr>
            <a:xfrm>
              <a:off x="164629" y="297802"/>
              <a:ext cx="1453319" cy="5175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func>
                          <m:func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600" b="0" i="0">
                                <a:latin typeface="Cambria Math" panose="02040503050406030204" pitchFamily="18" charset="0"/>
                              </a:rPr>
                              <m:t>max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lang="en-ID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BC6BC1-419B-4CDF-BE61-7420C8453C7C}"/>
                </a:ext>
              </a:extLst>
            </xdr:cNvPr>
            <xdr:cNvSpPr txBox="1"/>
          </xdr:nvSpPr>
          <xdr:spPr>
            <a:xfrm>
              <a:off x="164629" y="297802"/>
              <a:ext cx="1453319" cy="5175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𝑟_𝑖𝑗=𝑥_𝑖𝑗/max⁡(𝑥_𝑗 ) </a:t>
              </a:r>
              <a:endParaRPr lang="en-ID" sz="1600"/>
            </a:p>
          </xdr:txBody>
        </xdr:sp>
      </mc:Fallback>
    </mc:AlternateContent>
    <xdr:clientData/>
  </xdr:oneCellAnchor>
  <xdr:oneCellAnchor>
    <xdr:from>
      <xdr:col>7</xdr:col>
      <xdr:colOff>69687</xdr:colOff>
      <xdr:row>9</xdr:row>
      <xdr:rowOff>130726</xdr:rowOff>
    </xdr:from>
    <xdr:ext cx="2191113" cy="164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410D043-DCF8-4B15-A2CE-C04B63ADB989}"/>
                </a:ext>
              </a:extLst>
            </xdr:cNvPr>
            <xdr:cNvSpPr txBox="1"/>
          </xdr:nvSpPr>
          <xdr:spPr>
            <a:xfrm>
              <a:off x="8130218" y="1952382"/>
              <a:ext cx="2191113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𝐺𝐴𝑃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𝑁𝑖𝑙𝑎𝑖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𝑠𝑖𝑠𝑤𝑎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𝑝𝑟𝑜𝑓𝑖𝑙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𝑗𝑢𝑟𝑢𝑠𝑎𝑛</m:t>
                    </m:r>
                  </m:oMath>
                </m:oMathPara>
              </a14:m>
              <a:endParaRPr lang="en-ID" sz="105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410D043-DCF8-4B15-A2CE-C04B63ADB989}"/>
                </a:ext>
              </a:extLst>
            </xdr:cNvPr>
            <xdr:cNvSpPr txBox="1"/>
          </xdr:nvSpPr>
          <xdr:spPr>
            <a:xfrm>
              <a:off x="8130218" y="1952382"/>
              <a:ext cx="2191113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𝐺𝐴𝑃=𝑁𝑖𝑙𝑎𝑖 𝑠𝑖𝑠𝑤𝑎−𝑝𝑟𝑜𝑓𝑖𝑙 𝑗𝑢𝑟𝑢𝑠𝑎𝑛</a:t>
              </a:r>
              <a:endParaRPr lang="en-ID" sz="1050"/>
            </a:p>
          </xdr:txBody>
        </xdr:sp>
      </mc:Fallback>
    </mc:AlternateContent>
    <xdr:clientData/>
  </xdr:oneCellAnchor>
  <xdr:oneCellAnchor>
    <xdr:from>
      <xdr:col>7</xdr:col>
      <xdr:colOff>72506</xdr:colOff>
      <xdr:row>26</xdr:row>
      <xdr:rowOff>28769</xdr:rowOff>
    </xdr:from>
    <xdr:ext cx="888320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C36ABB-55C9-4131-AE93-6AF637F911EB}"/>
                </a:ext>
              </a:extLst>
            </xdr:cNvPr>
            <xdr:cNvSpPr txBox="1"/>
          </xdr:nvSpPr>
          <xdr:spPr>
            <a:xfrm>
              <a:off x="8139598" y="5432749"/>
              <a:ext cx="888320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=5−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𝐺𝑎𝑝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C36ABB-55C9-4131-AE93-6AF637F911EB}"/>
                </a:ext>
              </a:extLst>
            </xdr:cNvPr>
            <xdr:cNvSpPr txBox="1"/>
          </xdr:nvSpPr>
          <xdr:spPr>
            <a:xfrm>
              <a:off x="8139598" y="5432749"/>
              <a:ext cx="888320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𝑋_𝑖𝑗=5−𝐺𝑎𝑝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8B9-82AA-4992-89DD-F33CE75A559A}">
  <dimension ref="A1:J26"/>
  <sheetViews>
    <sheetView topLeftCell="A11" workbookViewId="0">
      <selection activeCell="B7" sqref="B7"/>
    </sheetView>
  </sheetViews>
  <sheetFormatPr defaultRowHeight="15" x14ac:dyDescent="0.25"/>
  <cols>
    <col min="1" max="1" width="23.28515625" customWidth="1"/>
    <col min="2" max="2" width="20.85546875" customWidth="1"/>
    <col min="3" max="3" width="13.5703125" customWidth="1"/>
    <col min="4" max="4" width="28.42578125" customWidth="1"/>
    <col min="5" max="5" width="21.140625" customWidth="1"/>
    <col min="7" max="7" width="22.85546875" customWidth="1"/>
    <col min="8" max="8" width="27.42578125" customWidth="1"/>
  </cols>
  <sheetData>
    <row r="1" spans="1:10" x14ac:dyDescent="0.25">
      <c r="A1" s="66" t="s">
        <v>12</v>
      </c>
      <c r="B1" s="67"/>
      <c r="J1" s="18"/>
    </row>
    <row r="2" spans="1:10" x14ac:dyDescent="0.25">
      <c r="A2" s="2" t="s">
        <v>0</v>
      </c>
      <c r="B2" s="2" t="s">
        <v>1</v>
      </c>
      <c r="J2" s="17"/>
    </row>
    <row r="3" spans="1:10" x14ac:dyDescent="0.25">
      <c r="A3" s="3" t="s">
        <v>2</v>
      </c>
      <c r="B3" s="4" t="s">
        <v>11</v>
      </c>
      <c r="J3" s="17"/>
    </row>
    <row r="4" spans="1:10" x14ac:dyDescent="0.25">
      <c r="A4" s="3" t="s">
        <v>3</v>
      </c>
      <c r="B4" s="4" t="s">
        <v>10</v>
      </c>
      <c r="J4" s="17"/>
    </row>
    <row r="5" spans="1:10" x14ac:dyDescent="0.25">
      <c r="A5" s="3" t="s">
        <v>4</v>
      </c>
      <c r="B5" s="4" t="s">
        <v>9</v>
      </c>
    </row>
    <row r="6" spans="1:10" x14ac:dyDescent="0.25">
      <c r="A6" s="3" t="s">
        <v>5</v>
      </c>
      <c r="B6" s="4" t="s">
        <v>7</v>
      </c>
    </row>
    <row r="7" spans="1:10" x14ac:dyDescent="0.25">
      <c r="A7" s="3" t="s">
        <v>6</v>
      </c>
      <c r="B7" s="4" t="s">
        <v>8</v>
      </c>
    </row>
    <row r="9" spans="1:10" x14ac:dyDescent="0.25">
      <c r="A9" s="68" t="s">
        <v>13</v>
      </c>
      <c r="B9" s="69"/>
    </row>
    <row r="10" spans="1:10" x14ac:dyDescent="0.25">
      <c r="A10" s="2" t="s">
        <v>0</v>
      </c>
      <c r="B10" s="2" t="s">
        <v>14</v>
      </c>
    </row>
    <row r="11" spans="1:10" x14ac:dyDescent="0.25">
      <c r="A11" s="3" t="s">
        <v>15</v>
      </c>
      <c r="B11" s="4" t="s">
        <v>20</v>
      </c>
    </row>
    <row r="12" spans="1:10" x14ac:dyDescent="0.25">
      <c r="A12" s="3" t="s">
        <v>16</v>
      </c>
      <c r="B12" s="4" t="s">
        <v>19</v>
      </c>
    </row>
    <row r="13" spans="1:10" x14ac:dyDescent="0.25">
      <c r="A13" s="3" t="s">
        <v>17</v>
      </c>
      <c r="B13" s="4" t="s">
        <v>18</v>
      </c>
    </row>
    <row r="15" spans="1:10" x14ac:dyDescent="0.25">
      <c r="A15" s="68" t="s">
        <v>21</v>
      </c>
      <c r="B15" s="69"/>
    </row>
    <row r="16" spans="1:10" x14ac:dyDescent="0.25">
      <c r="A16" s="2" t="s">
        <v>14</v>
      </c>
      <c r="B16" s="2" t="s">
        <v>22</v>
      </c>
    </row>
    <row r="17" spans="1:2" x14ac:dyDescent="0.25">
      <c r="A17" s="3" t="s">
        <v>15</v>
      </c>
      <c r="B17" s="3">
        <v>5</v>
      </c>
    </row>
    <row r="18" spans="1:2" x14ac:dyDescent="0.25">
      <c r="A18" s="3" t="s">
        <v>16</v>
      </c>
      <c r="B18" s="3">
        <v>4</v>
      </c>
    </row>
    <row r="19" spans="1:2" x14ac:dyDescent="0.25">
      <c r="A19" s="3" t="s">
        <v>17</v>
      </c>
      <c r="B19" s="3">
        <v>3</v>
      </c>
    </row>
    <row r="20" spans="1:2" x14ac:dyDescent="0.25">
      <c r="A20" s="5" t="s">
        <v>23</v>
      </c>
      <c r="B20" s="5">
        <f>SUM(B17:B19)</f>
        <v>12</v>
      </c>
    </row>
    <row r="22" spans="1:2" x14ac:dyDescent="0.25">
      <c r="A22" s="68" t="s">
        <v>24</v>
      </c>
      <c r="B22" s="69"/>
    </row>
    <row r="23" spans="1:2" x14ac:dyDescent="0.25">
      <c r="A23" s="4" t="s">
        <v>25</v>
      </c>
      <c r="B23" s="6">
        <f>5/12</f>
        <v>0.41666666666666669</v>
      </c>
    </row>
    <row r="24" spans="1:2" x14ac:dyDescent="0.25">
      <c r="A24" s="4" t="s">
        <v>26</v>
      </c>
      <c r="B24" s="6">
        <f>4/12</f>
        <v>0.33333333333333331</v>
      </c>
    </row>
    <row r="25" spans="1:2" x14ac:dyDescent="0.25">
      <c r="A25" s="4" t="s">
        <v>27</v>
      </c>
      <c r="B25" s="6">
        <f>3/12</f>
        <v>0.25</v>
      </c>
    </row>
    <row r="26" spans="1:2" x14ac:dyDescent="0.25">
      <c r="A26" s="5" t="s">
        <v>23</v>
      </c>
      <c r="B26" s="7">
        <f>SUM(B23:B25)</f>
        <v>1</v>
      </c>
    </row>
  </sheetData>
  <mergeCells count="4">
    <mergeCell ref="A1:B1"/>
    <mergeCell ref="A9:B9"/>
    <mergeCell ref="A15:B15"/>
    <mergeCell ref="A22:B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4A26-C79B-4990-8DBF-E956A33AFBFF}">
  <dimension ref="A1:V44"/>
  <sheetViews>
    <sheetView topLeftCell="O6" zoomScale="96" workbookViewId="0">
      <selection activeCell="R19" sqref="R18:R19"/>
    </sheetView>
  </sheetViews>
  <sheetFormatPr defaultRowHeight="15" x14ac:dyDescent="0.25"/>
  <cols>
    <col min="1" max="1" width="30" customWidth="1"/>
    <col min="2" max="2" width="17.140625" bestFit="1" customWidth="1"/>
    <col min="3" max="3" width="7.7109375" customWidth="1"/>
    <col min="4" max="4" width="7.42578125" customWidth="1"/>
    <col min="5" max="5" width="22.85546875" customWidth="1"/>
    <col min="6" max="6" width="20.5703125" customWidth="1"/>
    <col min="7" max="7" width="23.140625" customWidth="1"/>
    <col min="8" max="8" width="15.7109375" customWidth="1"/>
    <col min="9" max="9" width="8.85546875" customWidth="1"/>
    <col min="11" max="11" width="7.5703125" customWidth="1"/>
    <col min="12" max="12" width="30.5703125" customWidth="1"/>
    <col min="13" max="13" width="18.7109375" customWidth="1"/>
    <col min="14" max="14" width="20.5703125" customWidth="1"/>
    <col min="17" max="17" width="14.85546875" customWidth="1"/>
    <col min="18" max="18" width="27.140625" customWidth="1"/>
    <col min="19" max="19" width="20.28515625" customWidth="1"/>
    <col min="21" max="21" width="16.140625" customWidth="1"/>
    <col min="22" max="22" width="16.7109375" customWidth="1"/>
  </cols>
  <sheetData>
    <row r="1" spans="1:22" x14ac:dyDescent="0.25">
      <c r="A1" s="87" t="s">
        <v>36</v>
      </c>
      <c r="B1" s="87"/>
      <c r="E1" s="10" t="s">
        <v>1</v>
      </c>
      <c r="F1" s="10" t="s">
        <v>15</v>
      </c>
      <c r="G1" s="10" t="s">
        <v>16</v>
      </c>
      <c r="H1" s="10" t="s">
        <v>17</v>
      </c>
      <c r="L1" s="79" t="s">
        <v>31</v>
      </c>
      <c r="M1" s="79"/>
      <c r="N1" s="79"/>
      <c r="Q1" s="75" t="s">
        <v>56</v>
      </c>
      <c r="R1" s="75"/>
      <c r="S1" s="75"/>
      <c r="U1" s="68" t="s">
        <v>24</v>
      </c>
      <c r="V1" s="69"/>
    </row>
    <row r="2" spans="1:22" ht="18" customHeight="1" x14ac:dyDescent="0.25">
      <c r="A2" s="87" t="s">
        <v>37</v>
      </c>
      <c r="B2" s="87"/>
      <c r="E2" s="11" t="s">
        <v>11</v>
      </c>
      <c r="F2" s="92">
        <v>5</v>
      </c>
      <c r="G2" s="92">
        <v>4</v>
      </c>
      <c r="H2" s="92">
        <v>4</v>
      </c>
      <c r="L2" s="79"/>
      <c r="M2" s="79"/>
      <c r="N2" s="79"/>
      <c r="Q2" s="53" t="s">
        <v>57</v>
      </c>
      <c r="R2" s="53" t="s">
        <v>58</v>
      </c>
      <c r="S2" s="53" t="s">
        <v>59</v>
      </c>
      <c r="U2" s="4" t="s">
        <v>25</v>
      </c>
      <c r="V2" s="6">
        <f>5/12</f>
        <v>0.41666666666666669</v>
      </c>
    </row>
    <row r="3" spans="1:22" ht="17.25" customHeight="1" x14ac:dyDescent="0.25">
      <c r="A3" s="15" t="s">
        <v>14</v>
      </c>
      <c r="B3" s="15" t="s">
        <v>38</v>
      </c>
      <c r="E3" s="11" t="s">
        <v>10</v>
      </c>
      <c r="F3" s="92">
        <v>4</v>
      </c>
      <c r="G3" s="92">
        <v>2.5</v>
      </c>
      <c r="H3" s="92">
        <v>4.5</v>
      </c>
      <c r="L3" s="79"/>
      <c r="M3" s="79"/>
      <c r="N3" s="79"/>
      <c r="Q3" s="1">
        <v>4</v>
      </c>
      <c r="R3" s="1" t="s">
        <v>60</v>
      </c>
      <c r="S3" s="21">
        <f>(M21*V2)+(N21*V3)+(O21*V4)</f>
        <v>0.89559620815894225</v>
      </c>
      <c r="U3" s="4" t="s">
        <v>26</v>
      </c>
      <c r="V3" s="6">
        <f>4/12</f>
        <v>0.33333333333333331</v>
      </c>
    </row>
    <row r="4" spans="1:22" ht="17.25" customHeight="1" x14ac:dyDescent="0.25">
      <c r="A4" s="4" t="s">
        <v>41</v>
      </c>
      <c r="B4" s="3">
        <v>47</v>
      </c>
      <c r="E4" s="11" t="s">
        <v>9</v>
      </c>
      <c r="F4" s="92">
        <v>4</v>
      </c>
      <c r="G4" s="92">
        <v>5</v>
      </c>
      <c r="H4" s="92">
        <v>4</v>
      </c>
      <c r="L4" s="79"/>
      <c r="M4" s="79"/>
      <c r="N4" s="79"/>
      <c r="Q4" s="1">
        <v>1</v>
      </c>
      <c r="R4" s="1" t="s">
        <v>10</v>
      </c>
      <c r="S4" s="21">
        <f>(M22*V2)+(N22*V3)+(O22*V4)</f>
        <v>0.97311415195170781</v>
      </c>
      <c r="U4" s="4" t="s">
        <v>27</v>
      </c>
      <c r="V4" s="6">
        <f>3/12</f>
        <v>0.25</v>
      </c>
    </row>
    <row r="5" spans="1:22" ht="15" customHeight="1" x14ac:dyDescent="0.25">
      <c r="A5" s="4" t="s">
        <v>40</v>
      </c>
      <c r="B5" s="3">
        <v>24</v>
      </c>
      <c r="E5" s="11" t="s">
        <v>8</v>
      </c>
      <c r="F5" s="92">
        <v>4.8</v>
      </c>
      <c r="G5" s="92">
        <v>4.5</v>
      </c>
      <c r="H5" s="92">
        <v>4.5</v>
      </c>
      <c r="L5" s="79"/>
      <c r="M5" s="79"/>
      <c r="N5" s="79"/>
      <c r="Q5" s="1">
        <v>3</v>
      </c>
      <c r="R5" s="1" t="s">
        <v>9</v>
      </c>
      <c r="S5" s="21">
        <f>(M23*V2)+(N23*V3)+(O23*V4)</f>
        <v>0.90507306472499627</v>
      </c>
      <c r="U5" s="5" t="s">
        <v>23</v>
      </c>
      <c r="V5" s="7">
        <f>SUM(V2:V4)</f>
        <v>1</v>
      </c>
    </row>
    <row r="6" spans="1:22" ht="16.5" customHeight="1" x14ac:dyDescent="0.25">
      <c r="A6" s="4" t="s">
        <v>39</v>
      </c>
      <c r="B6" s="3">
        <v>40</v>
      </c>
      <c r="E6" s="11" t="s">
        <v>7</v>
      </c>
      <c r="F6" s="92">
        <v>4</v>
      </c>
      <c r="G6" s="92">
        <v>4</v>
      </c>
      <c r="H6" s="92">
        <v>3</v>
      </c>
      <c r="L6" s="78" t="s">
        <v>55</v>
      </c>
      <c r="M6" s="78"/>
      <c r="N6" s="78"/>
      <c r="O6" s="78"/>
      <c r="Q6" s="1">
        <v>2</v>
      </c>
      <c r="R6" s="1" t="s">
        <v>7</v>
      </c>
      <c r="S6" s="21">
        <f>(M25*V2)+(N25*V3)+(O25*V4)</f>
        <v>0.92977914408219398</v>
      </c>
    </row>
    <row r="7" spans="1:22" x14ac:dyDescent="0.25">
      <c r="E7" s="89" t="s">
        <v>28</v>
      </c>
      <c r="F7" s="89"/>
      <c r="G7" s="89"/>
      <c r="H7" s="89"/>
      <c r="L7" s="13" t="s">
        <v>29</v>
      </c>
      <c r="M7" s="13" t="s">
        <v>15</v>
      </c>
      <c r="N7" s="13" t="s">
        <v>16</v>
      </c>
      <c r="O7" s="13" t="s">
        <v>17</v>
      </c>
      <c r="Q7" s="1">
        <v>5</v>
      </c>
      <c r="R7" s="55" t="s">
        <v>8</v>
      </c>
      <c r="S7" s="21">
        <f>(M24*V2)+(N24*V3)+(O24*V4)</f>
        <v>0.89456968366434642</v>
      </c>
    </row>
    <row r="8" spans="1:22" x14ac:dyDescent="0.25">
      <c r="A8" s="88" t="s">
        <v>42</v>
      </c>
      <c r="B8" s="88"/>
      <c r="L8" s="12" t="s">
        <v>2</v>
      </c>
      <c r="M8" s="46">
        <v>3.9167000000000001</v>
      </c>
      <c r="N8" s="12">
        <v>4.4286000000000003</v>
      </c>
      <c r="O8" s="12">
        <v>4.5556000000000001</v>
      </c>
      <c r="S8" s="21"/>
    </row>
    <row r="9" spans="1:22" x14ac:dyDescent="0.25">
      <c r="A9" s="16" t="s">
        <v>14</v>
      </c>
      <c r="B9" s="16" t="s">
        <v>43</v>
      </c>
      <c r="E9" s="90" t="s">
        <v>47</v>
      </c>
      <c r="F9" s="90"/>
      <c r="G9" s="90"/>
      <c r="H9" t="s">
        <v>54</v>
      </c>
      <c r="L9" s="12" t="s">
        <v>3</v>
      </c>
      <c r="M9" s="12">
        <v>4.9166999999999996</v>
      </c>
      <c r="N9" s="12">
        <v>4.0713999999999997</v>
      </c>
      <c r="O9" s="12">
        <v>4.9443999999999999</v>
      </c>
      <c r="Q9" s="76" t="s">
        <v>62</v>
      </c>
      <c r="R9" s="77"/>
      <c r="S9" s="77"/>
    </row>
    <row r="10" spans="1:22" x14ac:dyDescent="0.25">
      <c r="A10" s="19" t="s">
        <v>15</v>
      </c>
      <c r="B10" s="3">
        <v>60</v>
      </c>
      <c r="E10" s="81" t="s">
        <v>48</v>
      </c>
      <c r="F10" s="22" t="s">
        <v>15</v>
      </c>
      <c r="G10" s="22">
        <f>(B20-F2)</f>
        <v>-1.0833333333333335</v>
      </c>
      <c r="H10" s="71"/>
      <c r="I10" s="72"/>
      <c r="J10" s="72"/>
      <c r="K10" s="44"/>
      <c r="L10" s="12" t="s">
        <v>4</v>
      </c>
      <c r="M10" s="12">
        <v>4.9166999999999996</v>
      </c>
      <c r="N10" s="12">
        <v>3.4285999999999999</v>
      </c>
      <c r="O10" s="12">
        <v>4.5556000000000001</v>
      </c>
      <c r="Q10" s="54" t="s">
        <v>61</v>
      </c>
      <c r="R10" s="54" t="s">
        <v>1</v>
      </c>
      <c r="S10" s="54" t="s">
        <v>59</v>
      </c>
    </row>
    <row r="11" spans="1:22" x14ac:dyDescent="0.25">
      <c r="A11" s="3" t="s">
        <v>16</v>
      </c>
      <c r="B11" s="3">
        <v>35</v>
      </c>
      <c r="E11" s="81"/>
      <c r="F11" s="4" t="s">
        <v>16</v>
      </c>
      <c r="G11" s="22">
        <f>(B21-G2)</f>
        <v>-0.57142857142857117</v>
      </c>
      <c r="H11" s="71"/>
      <c r="I11" s="72"/>
      <c r="J11" s="72"/>
      <c r="K11" s="44"/>
      <c r="L11" s="12" t="s">
        <v>5</v>
      </c>
      <c r="M11" s="12">
        <v>4.9166999999999996</v>
      </c>
      <c r="N11" s="12">
        <v>4.4286000000000003</v>
      </c>
      <c r="O11" s="12">
        <v>3.5556000000000001</v>
      </c>
      <c r="Q11" s="8">
        <v>1</v>
      </c>
      <c r="R11" s="9" t="s">
        <v>10</v>
      </c>
      <c r="S11" s="9">
        <v>0.97309999999999997</v>
      </c>
    </row>
    <row r="12" spans="1:22" x14ac:dyDescent="0.25">
      <c r="A12" s="3" t="s">
        <v>17</v>
      </c>
      <c r="B12" s="3">
        <v>45</v>
      </c>
      <c r="E12" s="81"/>
      <c r="F12" s="4" t="s">
        <v>17</v>
      </c>
      <c r="G12" s="22">
        <f>B22-H2</f>
        <v>0.44444444444444464</v>
      </c>
      <c r="H12" s="42"/>
      <c r="I12" s="43"/>
      <c r="L12" s="12" t="s">
        <v>6</v>
      </c>
      <c r="M12" s="12">
        <v>4.1166999999999998</v>
      </c>
      <c r="N12" s="12">
        <v>3.9285999999999999</v>
      </c>
      <c r="O12" s="12">
        <v>4.9443999999999999</v>
      </c>
      <c r="Q12" s="8">
        <v>2</v>
      </c>
      <c r="R12" s="9" t="s">
        <v>7</v>
      </c>
      <c r="S12" s="56">
        <v>0.92979999999999996</v>
      </c>
    </row>
    <row r="13" spans="1:22" x14ac:dyDescent="0.25">
      <c r="E13" s="82" t="s">
        <v>49</v>
      </c>
      <c r="F13" s="26" t="s">
        <v>15</v>
      </c>
      <c r="G13" s="27">
        <f>B20-F3</f>
        <v>-8.3333333333333481E-2</v>
      </c>
      <c r="H13" s="42"/>
      <c r="I13" s="43"/>
      <c r="Q13" s="8">
        <v>3</v>
      </c>
      <c r="R13" s="9" t="s">
        <v>9</v>
      </c>
      <c r="S13" s="9">
        <v>0.90510000000000002</v>
      </c>
    </row>
    <row r="14" spans="1:22" x14ac:dyDescent="0.25">
      <c r="A14" s="75" t="s">
        <v>44</v>
      </c>
      <c r="B14" s="75"/>
      <c r="E14" s="82"/>
      <c r="F14" s="26" t="s">
        <v>16</v>
      </c>
      <c r="G14" s="27">
        <f>B21-G3</f>
        <v>0.92857142857142883</v>
      </c>
      <c r="H14" s="42"/>
      <c r="I14" s="43"/>
      <c r="L14" s="86" t="s">
        <v>30</v>
      </c>
      <c r="M14" s="86"/>
      <c r="N14" s="14"/>
      <c r="O14" s="14"/>
      <c r="Q14" s="8">
        <v>4</v>
      </c>
      <c r="R14" s="9" t="s">
        <v>11</v>
      </c>
      <c r="S14" s="9">
        <v>0.89549999999999996</v>
      </c>
    </row>
    <row r="15" spans="1:22" x14ac:dyDescent="0.25">
      <c r="A15" s="19" t="s">
        <v>15</v>
      </c>
      <c r="B15" s="20">
        <f>(B4/B10)*100</f>
        <v>78.333333333333329</v>
      </c>
      <c r="E15" s="82"/>
      <c r="F15" s="26" t="s">
        <v>17</v>
      </c>
      <c r="G15" s="27">
        <f>B22-H3</f>
        <v>-5.5555555555555358E-2</v>
      </c>
      <c r="L15" s="12" t="s">
        <v>15</v>
      </c>
      <c r="M15" s="22">
        <f>MAX(M8:M12)</f>
        <v>4.9166999999999996</v>
      </c>
      <c r="Q15" s="8">
        <v>5</v>
      </c>
      <c r="R15" s="9" t="s">
        <v>8</v>
      </c>
      <c r="S15" s="9">
        <v>0.89459999999999995</v>
      </c>
    </row>
    <row r="16" spans="1:22" x14ac:dyDescent="0.25">
      <c r="A16" s="19" t="s">
        <v>16</v>
      </c>
      <c r="B16" s="20">
        <f>(B5/B11)*100</f>
        <v>68.571428571428569</v>
      </c>
      <c r="E16" s="83" t="s">
        <v>50</v>
      </c>
      <c r="F16" s="28" t="s">
        <v>15</v>
      </c>
      <c r="G16" s="29">
        <f>B20-F4</f>
        <v>-8.3333333333333481E-2</v>
      </c>
      <c r="L16" s="12" t="s">
        <v>16</v>
      </c>
      <c r="M16" s="4">
        <f>MAX(N8:N12)</f>
        <v>4.4286000000000003</v>
      </c>
    </row>
    <row r="17" spans="1:16" ht="19.5" customHeight="1" x14ac:dyDescent="0.25">
      <c r="A17" s="19" t="s">
        <v>17</v>
      </c>
      <c r="B17" s="20">
        <f>(B6/B12)*100</f>
        <v>88.888888888888886</v>
      </c>
      <c r="E17" s="83"/>
      <c r="F17" s="28" t="s">
        <v>16</v>
      </c>
      <c r="G17" s="29">
        <f>B21-G4</f>
        <v>-1.5714285714285712</v>
      </c>
      <c r="L17" s="12" t="s">
        <v>17</v>
      </c>
      <c r="M17" s="4">
        <f>MAX(O8:O12)</f>
        <v>4.9443999999999999</v>
      </c>
    </row>
    <row r="18" spans="1:16" x14ac:dyDescent="0.25">
      <c r="E18" s="83"/>
      <c r="F18" s="28" t="s">
        <v>17</v>
      </c>
      <c r="G18" s="29">
        <f>B22-H4</f>
        <v>0.44444444444444464</v>
      </c>
    </row>
    <row r="19" spans="1:16" x14ac:dyDescent="0.25">
      <c r="A19" s="85" t="s">
        <v>45</v>
      </c>
      <c r="B19" s="85"/>
      <c r="E19" s="84" t="s">
        <v>51</v>
      </c>
      <c r="F19" s="30" t="s">
        <v>15</v>
      </c>
      <c r="G19" s="31">
        <f>B20-F5</f>
        <v>-0.8833333333333333</v>
      </c>
      <c r="L19" s="73" t="s">
        <v>65</v>
      </c>
      <c r="M19" s="74"/>
      <c r="N19" s="74"/>
      <c r="O19" s="74"/>
    </row>
    <row r="20" spans="1:16" x14ac:dyDescent="0.25">
      <c r="A20" s="19" t="s">
        <v>15</v>
      </c>
      <c r="B20" s="23">
        <f>B15/100*5</f>
        <v>3.9166666666666665</v>
      </c>
      <c r="C20">
        <f>B4/B10*5</f>
        <v>3.9166666666666665</v>
      </c>
      <c r="E20" s="84"/>
      <c r="F20" s="30" t="s">
        <v>16</v>
      </c>
      <c r="G20" s="31">
        <f>B21-G5</f>
        <v>-1.0714285714285712</v>
      </c>
      <c r="L20" s="51" t="s">
        <v>32</v>
      </c>
      <c r="M20" s="51" t="s">
        <v>15</v>
      </c>
      <c r="N20" s="52" t="s">
        <v>16</v>
      </c>
      <c r="O20" s="45" t="s">
        <v>17</v>
      </c>
    </row>
    <row r="21" spans="1:16" x14ac:dyDescent="0.25">
      <c r="A21" s="19" t="s">
        <v>16</v>
      </c>
      <c r="B21" s="23">
        <f>(B16/100)*5</f>
        <v>3.4285714285714288</v>
      </c>
      <c r="E21" s="84"/>
      <c r="F21" s="30" t="s">
        <v>17</v>
      </c>
      <c r="G21" s="31">
        <f>B22-H5</f>
        <v>-5.5555555555555358E-2</v>
      </c>
      <c r="L21" s="19" t="s">
        <v>33</v>
      </c>
      <c r="M21" s="23">
        <f>M8/M15</f>
        <v>0.79661154839628212</v>
      </c>
      <c r="N21" s="23">
        <f>N8/M16</f>
        <v>1</v>
      </c>
      <c r="O21" s="22">
        <f>O8/M17</f>
        <v>0.921365585308632</v>
      </c>
    </row>
    <row r="22" spans="1:16" x14ac:dyDescent="0.25">
      <c r="A22" s="19" t="s">
        <v>17</v>
      </c>
      <c r="B22" s="23">
        <f>(B17/100)*5</f>
        <v>4.4444444444444446</v>
      </c>
      <c r="E22" s="70" t="s">
        <v>52</v>
      </c>
      <c r="F22" s="32" t="s">
        <v>15</v>
      </c>
      <c r="G22" s="33">
        <f>B20-F6</f>
        <v>-8.3333333333333481E-2</v>
      </c>
      <c r="L22" s="19" t="s">
        <v>34</v>
      </c>
      <c r="M22" s="23">
        <f>M9/M15</f>
        <v>1</v>
      </c>
      <c r="N22" s="23">
        <f>N9/M16</f>
        <v>0.91934245585512342</v>
      </c>
      <c r="O22" s="22">
        <f>O9/M17</f>
        <v>1</v>
      </c>
    </row>
    <row r="23" spans="1:16" x14ac:dyDescent="0.25">
      <c r="E23" s="70"/>
      <c r="F23" s="32" t="s">
        <v>16</v>
      </c>
      <c r="G23" s="33">
        <f>B21-G6</f>
        <v>-0.57142857142857117</v>
      </c>
      <c r="L23" s="19" t="s">
        <v>35</v>
      </c>
      <c r="M23" s="23">
        <f>M10/M15</f>
        <v>1</v>
      </c>
      <c r="N23" s="23">
        <f>N10/M16</f>
        <v>0.77419500519351481</v>
      </c>
      <c r="O23" s="22">
        <f>O10/M17</f>
        <v>0.921365585308632</v>
      </c>
    </row>
    <row r="24" spans="1:16" x14ac:dyDescent="0.25">
      <c r="A24" s="85" t="s">
        <v>46</v>
      </c>
      <c r="B24" s="85"/>
      <c r="E24" s="70"/>
      <c r="F24" s="32" t="s">
        <v>17</v>
      </c>
      <c r="G24" s="33">
        <f>B22-H6</f>
        <v>1.4444444444444446</v>
      </c>
      <c r="L24" s="19" t="s">
        <v>63</v>
      </c>
      <c r="M24" s="23">
        <f>M12/M15</f>
        <v>0.83728923871702565</v>
      </c>
      <c r="N24" s="23">
        <f>N12/M16</f>
        <v>0.88709750259675735</v>
      </c>
      <c r="O24" s="22">
        <f>O12/M17</f>
        <v>1</v>
      </c>
    </row>
    <row r="25" spans="1:16" x14ac:dyDescent="0.25">
      <c r="A25" s="19" t="s">
        <v>15</v>
      </c>
      <c r="B25" s="34">
        <f>B15/100*5</f>
        <v>3.9166666666666665</v>
      </c>
      <c r="L25" s="19" t="s">
        <v>64</v>
      </c>
      <c r="M25" s="23">
        <f>M11/M15</f>
        <v>1</v>
      </c>
      <c r="N25" s="23">
        <f>N11/M16</f>
        <v>1</v>
      </c>
      <c r="O25" s="22">
        <f>O11/M17</f>
        <v>0.71911657632877601</v>
      </c>
    </row>
    <row r="26" spans="1:16" x14ac:dyDescent="0.25">
      <c r="A26" s="19" t="s">
        <v>16</v>
      </c>
      <c r="B26" s="34">
        <f>B16/100*5</f>
        <v>3.4285714285714288</v>
      </c>
      <c r="E26" s="80" t="s">
        <v>53</v>
      </c>
      <c r="F26" s="80"/>
      <c r="G26" s="80"/>
      <c r="H26" t="s">
        <v>54</v>
      </c>
      <c r="L26" s="47"/>
      <c r="P26" s="50"/>
    </row>
    <row r="27" spans="1:16" x14ac:dyDescent="0.25">
      <c r="A27" s="19" t="s">
        <v>17</v>
      </c>
      <c r="B27" s="34">
        <f>B17/100*5</f>
        <v>4.4444444444444446</v>
      </c>
      <c r="E27" s="81" t="s">
        <v>48</v>
      </c>
      <c r="F27" s="23" t="s">
        <v>15</v>
      </c>
      <c r="G27" s="23">
        <f>5-ABS(B20-F2)</f>
        <v>3.9166666666666665</v>
      </c>
      <c r="I27" s="21">
        <f>5-ABS(G10)</f>
        <v>3.9166666666666665</v>
      </c>
      <c r="J27" s="21"/>
      <c r="L27" s="47"/>
      <c r="M27" s="48"/>
      <c r="N27" s="48"/>
      <c r="O27" s="49"/>
      <c r="P27" s="50"/>
    </row>
    <row r="28" spans="1:16" x14ac:dyDescent="0.25">
      <c r="E28" s="81"/>
      <c r="F28" s="3" t="s">
        <v>16</v>
      </c>
      <c r="G28" s="23">
        <f>5-ABS(B26-G2)</f>
        <v>4.4285714285714288</v>
      </c>
      <c r="L28" s="47"/>
      <c r="M28" s="48"/>
      <c r="N28" s="48"/>
      <c r="O28" s="49"/>
      <c r="P28" s="50"/>
    </row>
    <row r="29" spans="1:16" x14ac:dyDescent="0.25">
      <c r="E29" s="81"/>
      <c r="F29" s="3" t="s">
        <v>17</v>
      </c>
      <c r="G29" s="23">
        <f>5-ABS(B27-H2)</f>
        <v>4.5555555555555554</v>
      </c>
      <c r="L29" s="47"/>
      <c r="M29" s="48"/>
      <c r="N29" s="48"/>
      <c r="O29" s="49"/>
      <c r="P29" s="50"/>
    </row>
    <row r="30" spans="1:16" x14ac:dyDescent="0.25">
      <c r="E30" s="82" t="s">
        <v>49</v>
      </c>
      <c r="F30" s="35" t="s">
        <v>15</v>
      </c>
      <c r="G30" s="36">
        <f>5-ABS(B20-F3)</f>
        <v>4.9166666666666661</v>
      </c>
      <c r="L30" s="47"/>
      <c r="M30" s="48"/>
      <c r="N30" s="48"/>
      <c r="O30" s="49"/>
      <c r="P30" s="50"/>
    </row>
    <row r="31" spans="1:16" x14ac:dyDescent="0.25">
      <c r="E31" s="82"/>
      <c r="F31" s="35" t="s">
        <v>16</v>
      </c>
      <c r="G31" s="36">
        <f>5-ABS(B21-G3)</f>
        <v>4.0714285714285712</v>
      </c>
      <c r="L31" s="47"/>
      <c r="M31" s="48"/>
      <c r="N31" s="48"/>
      <c r="O31" s="49"/>
      <c r="P31" s="50"/>
    </row>
    <row r="32" spans="1:16" x14ac:dyDescent="0.25">
      <c r="E32" s="82"/>
      <c r="F32" s="35" t="s">
        <v>17</v>
      </c>
      <c r="G32" s="36">
        <f>5-ABS(B22-H3)</f>
        <v>4.9444444444444446</v>
      </c>
      <c r="L32" s="47"/>
      <c r="M32" s="48"/>
      <c r="N32" s="48"/>
      <c r="O32" s="49"/>
      <c r="P32" s="50"/>
    </row>
    <row r="33" spans="5:16" x14ac:dyDescent="0.25">
      <c r="E33" s="83" t="s">
        <v>50</v>
      </c>
      <c r="F33" s="37" t="s">
        <v>15</v>
      </c>
      <c r="G33" s="38">
        <f>5-ABS(B20-F4)</f>
        <v>4.9166666666666661</v>
      </c>
      <c r="L33" s="47"/>
      <c r="M33" s="24"/>
      <c r="N33" s="25"/>
      <c r="O33" s="50"/>
      <c r="P33" s="50"/>
    </row>
    <row r="34" spans="5:16" x14ac:dyDescent="0.25">
      <c r="E34" s="83"/>
      <c r="F34" s="37" t="s">
        <v>16</v>
      </c>
      <c r="G34" s="38">
        <f>5-ABS(B21-G4)</f>
        <v>3.4285714285714288</v>
      </c>
      <c r="L34" s="47"/>
      <c r="M34" s="24"/>
      <c r="N34" s="25"/>
      <c r="O34" s="50"/>
      <c r="P34" s="50"/>
    </row>
    <row r="35" spans="5:16" x14ac:dyDescent="0.25">
      <c r="E35" s="83"/>
      <c r="F35" s="37" t="s">
        <v>17</v>
      </c>
      <c r="G35" s="38">
        <f>5-ABS(B22-H4)</f>
        <v>4.5555555555555554</v>
      </c>
      <c r="L35" s="47"/>
      <c r="M35" s="24"/>
      <c r="N35" s="25"/>
      <c r="O35" s="50"/>
      <c r="P35" s="50"/>
    </row>
    <row r="36" spans="5:16" x14ac:dyDescent="0.25">
      <c r="E36" s="84" t="s">
        <v>52</v>
      </c>
      <c r="F36" s="39" t="s">
        <v>15</v>
      </c>
      <c r="G36" s="40">
        <f>5-ABS(B20-F6)</f>
        <v>4.9166666666666661</v>
      </c>
      <c r="K36" s="43"/>
      <c r="L36" s="43"/>
      <c r="M36" s="43"/>
      <c r="N36" s="43"/>
      <c r="O36" s="43"/>
      <c r="P36" s="43"/>
    </row>
    <row r="37" spans="5:16" x14ac:dyDescent="0.25">
      <c r="E37" s="84"/>
      <c r="F37" s="39" t="s">
        <v>16</v>
      </c>
      <c r="G37" s="40">
        <f>5-ABS(B21-G6)</f>
        <v>4.4285714285714288</v>
      </c>
      <c r="K37" s="43"/>
      <c r="L37" s="43"/>
      <c r="M37" s="43"/>
      <c r="N37" s="43"/>
      <c r="O37" s="43"/>
      <c r="P37" s="43"/>
    </row>
    <row r="38" spans="5:16" x14ac:dyDescent="0.25">
      <c r="E38" s="84"/>
      <c r="F38" s="39" t="s">
        <v>17</v>
      </c>
      <c r="G38" s="40">
        <f>5-ABS(B22-H6)</f>
        <v>3.5555555555555554</v>
      </c>
      <c r="K38" s="43"/>
      <c r="L38" s="43"/>
      <c r="M38" s="43"/>
      <c r="N38" s="43"/>
      <c r="O38" s="43"/>
      <c r="P38" s="43"/>
    </row>
    <row r="39" spans="5:16" x14ac:dyDescent="0.25">
      <c r="E39" s="70" t="s">
        <v>51</v>
      </c>
      <c r="F39" s="41" t="s">
        <v>15</v>
      </c>
      <c r="G39" s="57">
        <f>5-ABS(B20-F5)</f>
        <v>4.1166666666666671</v>
      </c>
      <c r="K39" s="43"/>
      <c r="L39" s="43"/>
      <c r="M39" s="43"/>
      <c r="N39" s="43"/>
      <c r="O39" s="43"/>
      <c r="P39" s="43"/>
    </row>
    <row r="40" spans="5:16" x14ac:dyDescent="0.25">
      <c r="E40" s="70"/>
      <c r="F40" s="41" t="s">
        <v>16</v>
      </c>
      <c r="G40" s="57">
        <f>5-ABS(B21-G5)</f>
        <v>3.9285714285714288</v>
      </c>
      <c r="K40" s="43"/>
      <c r="L40" s="43"/>
      <c r="M40" s="43"/>
      <c r="N40" s="43"/>
      <c r="O40" s="43"/>
      <c r="P40" s="43"/>
    </row>
    <row r="41" spans="5:16" x14ac:dyDescent="0.25">
      <c r="E41" s="70"/>
      <c r="F41" s="41" t="s">
        <v>17</v>
      </c>
      <c r="G41" s="57">
        <f>5-ABS(B22-H5)</f>
        <v>4.9444444444444446</v>
      </c>
      <c r="K41" s="43"/>
      <c r="L41" s="43"/>
      <c r="M41" s="43"/>
      <c r="N41" s="43"/>
      <c r="O41" s="43"/>
      <c r="P41" s="43"/>
    </row>
    <row r="42" spans="5:16" x14ac:dyDescent="0.25">
      <c r="K42" s="43"/>
      <c r="L42" s="43"/>
      <c r="M42" s="43"/>
      <c r="N42" s="43"/>
      <c r="O42" s="43"/>
      <c r="P42" s="43"/>
    </row>
    <row r="43" spans="5:16" x14ac:dyDescent="0.25">
      <c r="K43" s="43"/>
      <c r="L43" s="43"/>
      <c r="M43" s="43"/>
      <c r="N43" s="43"/>
      <c r="O43" s="43"/>
      <c r="P43" s="43"/>
    </row>
    <row r="44" spans="5:16" x14ac:dyDescent="0.25">
      <c r="K44" s="43"/>
      <c r="L44" s="43"/>
      <c r="M44" s="43"/>
      <c r="N44" s="43"/>
      <c r="O44" s="43"/>
      <c r="P44" s="43"/>
    </row>
  </sheetData>
  <mergeCells count="28">
    <mergeCell ref="A1:B1"/>
    <mergeCell ref="A2:B2"/>
    <mergeCell ref="A8:B8"/>
    <mergeCell ref="E10:E12"/>
    <mergeCell ref="E7:H7"/>
    <mergeCell ref="E9:G9"/>
    <mergeCell ref="A14:B14"/>
    <mergeCell ref="A19:B19"/>
    <mergeCell ref="A24:B24"/>
    <mergeCell ref="L14:M14"/>
    <mergeCell ref="E13:E15"/>
    <mergeCell ref="E16:E18"/>
    <mergeCell ref="E19:E21"/>
    <mergeCell ref="E22:E24"/>
    <mergeCell ref="E39:E41"/>
    <mergeCell ref="H10:J11"/>
    <mergeCell ref="L19:O19"/>
    <mergeCell ref="Q1:S1"/>
    <mergeCell ref="U1:V1"/>
    <mergeCell ref="Q9:S9"/>
    <mergeCell ref="L6:O6"/>
    <mergeCell ref="L1:N1"/>
    <mergeCell ref="L2:N5"/>
    <mergeCell ref="E26:G26"/>
    <mergeCell ref="E27:E29"/>
    <mergeCell ref="E30:E32"/>
    <mergeCell ref="E33:E35"/>
    <mergeCell ref="E36:E3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D2B-6A83-4E99-BEFD-855D9629DB8C}">
  <dimension ref="A1:M30"/>
  <sheetViews>
    <sheetView tabSelected="1" topLeftCell="C15" workbookViewId="0">
      <selection activeCell="D27" sqref="D27"/>
    </sheetView>
  </sheetViews>
  <sheetFormatPr defaultRowHeight="15" x14ac:dyDescent="0.25"/>
  <cols>
    <col min="1" max="1" width="31.5703125" customWidth="1"/>
    <col min="4" max="4" width="25" customWidth="1"/>
    <col min="10" max="11" width="17.7109375" customWidth="1"/>
    <col min="12" max="12" width="19.140625" customWidth="1"/>
  </cols>
  <sheetData>
    <row r="1" spans="1:9" x14ac:dyDescent="0.25">
      <c r="A1" s="87" t="s">
        <v>36</v>
      </c>
      <c r="B1" s="87"/>
      <c r="D1" s="10" t="s">
        <v>1</v>
      </c>
      <c r="E1" s="10" t="s">
        <v>15</v>
      </c>
      <c r="F1" s="10" t="s">
        <v>16</v>
      </c>
      <c r="G1" s="10" t="s">
        <v>17</v>
      </c>
    </row>
    <row r="2" spans="1:9" ht="17.25" customHeight="1" x14ac:dyDescent="0.25">
      <c r="A2" s="87" t="s">
        <v>66</v>
      </c>
      <c r="B2" s="87"/>
      <c r="D2" s="11" t="s">
        <v>11</v>
      </c>
      <c r="E2" s="92">
        <v>5</v>
      </c>
      <c r="F2" s="92">
        <v>4</v>
      </c>
      <c r="G2" s="92">
        <v>4</v>
      </c>
    </row>
    <row r="3" spans="1:9" ht="13.5" customHeight="1" x14ac:dyDescent="0.25">
      <c r="A3" s="59" t="s">
        <v>14</v>
      </c>
      <c r="B3" s="59" t="s">
        <v>38</v>
      </c>
      <c r="D3" s="11" t="s">
        <v>10</v>
      </c>
      <c r="E3" s="92">
        <v>4</v>
      </c>
      <c r="F3" s="92">
        <v>2.5</v>
      </c>
      <c r="G3" s="92">
        <v>4.5</v>
      </c>
    </row>
    <row r="4" spans="1:9" ht="15" customHeight="1" x14ac:dyDescent="0.25">
      <c r="A4" s="4" t="s">
        <v>41</v>
      </c>
      <c r="B4" s="3">
        <v>50</v>
      </c>
      <c r="D4" s="11" t="s">
        <v>9</v>
      </c>
      <c r="E4" s="92">
        <v>4</v>
      </c>
      <c r="F4" s="92">
        <v>5</v>
      </c>
      <c r="G4" s="92">
        <v>4</v>
      </c>
    </row>
    <row r="5" spans="1:9" ht="14.25" customHeight="1" x14ac:dyDescent="0.25">
      <c r="A5" s="4" t="s">
        <v>40</v>
      </c>
      <c r="B5" s="3">
        <v>30</v>
      </c>
      <c r="D5" s="11" t="s">
        <v>8</v>
      </c>
      <c r="E5" s="92">
        <v>4.8</v>
      </c>
      <c r="F5" s="92">
        <v>4.5</v>
      </c>
      <c r="G5" s="92">
        <v>4.5</v>
      </c>
    </row>
    <row r="6" spans="1:9" ht="15.75" customHeight="1" x14ac:dyDescent="0.25">
      <c r="A6" s="4" t="s">
        <v>39</v>
      </c>
      <c r="B6" s="3">
        <v>39</v>
      </c>
      <c r="D6" s="11" t="s">
        <v>7</v>
      </c>
      <c r="E6" s="92">
        <v>4</v>
      </c>
      <c r="F6" s="92">
        <v>4</v>
      </c>
      <c r="G6" s="92">
        <v>3</v>
      </c>
    </row>
    <row r="7" spans="1:9" x14ac:dyDescent="0.25">
      <c r="D7" s="89" t="s">
        <v>28</v>
      </c>
      <c r="E7" s="89"/>
      <c r="F7" s="89"/>
      <c r="G7" s="89"/>
    </row>
    <row r="9" spans="1:9" x14ac:dyDescent="0.25">
      <c r="A9" s="88" t="s">
        <v>42</v>
      </c>
      <c r="B9" s="88"/>
      <c r="D9" s="65" t="s">
        <v>47</v>
      </c>
      <c r="E9" s="58" t="s">
        <v>72</v>
      </c>
      <c r="F9" s="58" t="s">
        <v>73</v>
      </c>
      <c r="G9" s="58" t="s">
        <v>74</v>
      </c>
    </row>
    <row r="10" spans="1:9" x14ac:dyDescent="0.25">
      <c r="A10" s="60" t="s">
        <v>14</v>
      </c>
      <c r="B10" s="60" t="s">
        <v>43</v>
      </c>
      <c r="D10" s="64" t="s">
        <v>11</v>
      </c>
      <c r="E10" s="21">
        <f>B16-E2</f>
        <v>-0.83333333333333304</v>
      </c>
      <c r="F10" s="21">
        <f>B17-F2</f>
        <v>0.28571428571428559</v>
      </c>
      <c r="G10" s="21">
        <f>B18-G2</f>
        <v>0.33333333333333393</v>
      </c>
    </row>
    <row r="11" spans="1:9" x14ac:dyDescent="0.25">
      <c r="A11" s="61" t="s">
        <v>15</v>
      </c>
      <c r="B11" s="3">
        <v>60</v>
      </c>
      <c r="D11" s="64" t="s">
        <v>68</v>
      </c>
      <c r="E11" s="21">
        <f>B16-E3</f>
        <v>0.16666666666666696</v>
      </c>
      <c r="F11" s="21">
        <f>B17-F3</f>
        <v>1.7857142857142856</v>
      </c>
      <c r="G11" s="21">
        <f>B18-G3</f>
        <v>-0.16666666666666607</v>
      </c>
    </row>
    <row r="12" spans="1:9" x14ac:dyDescent="0.25">
      <c r="A12" s="3" t="s">
        <v>16</v>
      </c>
      <c r="B12" s="3">
        <v>35</v>
      </c>
      <c r="D12" s="64" t="s">
        <v>69</v>
      </c>
      <c r="E12" s="21">
        <f>B16-E4</f>
        <v>0.16666666666666696</v>
      </c>
      <c r="F12" s="21">
        <f>B17-F4</f>
        <v>-0.71428571428571441</v>
      </c>
      <c r="G12" s="21">
        <f>B18-G4</f>
        <v>0.33333333333333393</v>
      </c>
    </row>
    <row r="13" spans="1:9" x14ac:dyDescent="0.25">
      <c r="A13" s="3" t="s">
        <v>17</v>
      </c>
      <c r="B13" s="3">
        <v>45</v>
      </c>
      <c r="D13" s="64" t="s">
        <v>70</v>
      </c>
      <c r="E13" s="21">
        <f>B16-E5</f>
        <v>-0.63333333333333286</v>
      </c>
      <c r="F13" s="21">
        <f>B17-F5</f>
        <v>-0.21428571428571441</v>
      </c>
      <c r="G13" s="21">
        <f>B18-G5</f>
        <v>-0.16666666666666607</v>
      </c>
    </row>
    <row r="14" spans="1:9" x14ac:dyDescent="0.25">
      <c r="D14" s="64" t="s">
        <v>71</v>
      </c>
      <c r="E14" s="21">
        <f>B16-E6</f>
        <v>0.16666666666666696</v>
      </c>
      <c r="F14" s="21">
        <f>B17-F6</f>
        <v>0.28571428571428559</v>
      </c>
      <c r="G14" s="21">
        <f>B18-G6</f>
        <v>1.3333333333333339</v>
      </c>
    </row>
    <row r="15" spans="1:9" x14ac:dyDescent="0.25">
      <c r="A15" s="79" t="s">
        <v>67</v>
      </c>
      <c r="B15" s="79"/>
    </row>
    <row r="16" spans="1:9" ht="14.25" customHeight="1" x14ac:dyDescent="0.25">
      <c r="A16" t="s">
        <v>15</v>
      </c>
      <c r="B16" s="21">
        <f>B4/B11*5</f>
        <v>4.166666666666667</v>
      </c>
      <c r="D16" s="91" t="s">
        <v>79</v>
      </c>
      <c r="E16" s="91"/>
      <c r="F16" s="91"/>
      <c r="G16" s="91"/>
      <c r="I16" t="s">
        <v>76</v>
      </c>
    </row>
    <row r="17" spans="1:13" x14ac:dyDescent="0.25">
      <c r="A17" t="s">
        <v>16</v>
      </c>
      <c r="B17" s="21">
        <f>B5/B12*5</f>
        <v>4.2857142857142856</v>
      </c>
      <c r="D17" s="64" t="s">
        <v>75</v>
      </c>
      <c r="E17" s="63" t="s">
        <v>15</v>
      </c>
      <c r="F17" s="63" t="s">
        <v>16</v>
      </c>
      <c r="G17" s="63" t="s">
        <v>17</v>
      </c>
      <c r="I17" s="63" t="s">
        <v>15</v>
      </c>
      <c r="J17" s="63" t="s">
        <v>16</v>
      </c>
      <c r="K17" s="63" t="s">
        <v>17</v>
      </c>
    </row>
    <row r="18" spans="1:13" x14ac:dyDescent="0.25">
      <c r="A18" t="s">
        <v>17</v>
      </c>
      <c r="B18" s="21">
        <f>B6/B13*5</f>
        <v>4.3333333333333339</v>
      </c>
      <c r="D18" s="64" t="s">
        <v>60</v>
      </c>
      <c r="E18" s="21">
        <f t="shared" ref="E18:G22" si="0">5-ABS(E10)</f>
        <v>4.166666666666667</v>
      </c>
      <c r="F18" s="21">
        <f t="shared" si="0"/>
        <v>4.7142857142857144</v>
      </c>
      <c r="G18" s="21">
        <f t="shared" si="0"/>
        <v>4.6666666666666661</v>
      </c>
      <c r="I18" s="21">
        <f>MAX(E18:E22)</f>
        <v>4.833333333333333</v>
      </c>
      <c r="J18" s="21">
        <f>MAX(F18:F22)</f>
        <v>4.7857142857142856</v>
      </c>
      <c r="K18" s="21">
        <f>MAX(G18:G22)</f>
        <v>4.8333333333333339</v>
      </c>
    </row>
    <row r="19" spans="1:13" x14ac:dyDescent="0.25">
      <c r="D19" s="64" t="s">
        <v>10</v>
      </c>
      <c r="E19" s="21">
        <f t="shared" si="0"/>
        <v>4.833333333333333</v>
      </c>
      <c r="F19" s="21">
        <f t="shared" si="0"/>
        <v>3.2142857142857144</v>
      </c>
      <c r="G19" s="21">
        <f t="shared" si="0"/>
        <v>4.8333333333333339</v>
      </c>
    </row>
    <row r="20" spans="1:13" x14ac:dyDescent="0.25">
      <c r="D20" s="64" t="s">
        <v>9</v>
      </c>
      <c r="E20" s="21">
        <f t="shared" si="0"/>
        <v>4.833333333333333</v>
      </c>
      <c r="F20" s="21">
        <f t="shared" si="0"/>
        <v>4.2857142857142856</v>
      </c>
      <c r="G20" s="21">
        <f t="shared" si="0"/>
        <v>4.6666666666666661</v>
      </c>
    </row>
    <row r="21" spans="1:13" x14ac:dyDescent="0.25">
      <c r="D21" s="64" t="s">
        <v>8</v>
      </c>
      <c r="E21" s="21">
        <f t="shared" si="0"/>
        <v>4.3666666666666671</v>
      </c>
      <c r="F21" s="21">
        <f t="shared" si="0"/>
        <v>4.7857142857142856</v>
      </c>
      <c r="G21" s="21">
        <f t="shared" si="0"/>
        <v>4.8333333333333339</v>
      </c>
    </row>
    <row r="22" spans="1:13" x14ac:dyDescent="0.25">
      <c r="D22" s="64" t="s">
        <v>7</v>
      </c>
      <c r="E22" s="21">
        <f t="shared" si="0"/>
        <v>4.833333333333333</v>
      </c>
      <c r="F22" s="21">
        <f t="shared" si="0"/>
        <v>4.7142857142857144</v>
      </c>
      <c r="G22" s="21">
        <f t="shared" si="0"/>
        <v>3.6666666666666661</v>
      </c>
    </row>
    <row r="24" spans="1:13" x14ac:dyDescent="0.25">
      <c r="D24" s="79" t="s">
        <v>77</v>
      </c>
      <c r="E24" s="79"/>
      <c r="F24" s="79"/>
      <c r="G24" s="79"/>
      <c r="I24" t="s">
        <v>56</v>
      </c>
      <c r="L24" s="68" t="s">
        <v>24</v>
      </c>
      <c r="M24" s="69"/>
    </row>
    <row r="25" spans="1:13" x14ac:dyDescent="0.25">
      <c r="D25" s="64" t="s">
        <v>78</v>
      </c>
      <c r="E25" t="s">
        <v>15</v>
      </c>
      <c r="F25" t="s">
        <v>16</v>
      </c>
      <c r="G25" t="s">
        <v>17</v>
      </c>
      <c r="I25" t="s">
        <v>57</v>
      </c>
      <c r="J25" t="s">
        <v>29</v>
      </c>
      <c r="K25" t="s">
        <v>80</v>
      </c>
      <c r="L25" s="4" t="s">
        <v>25</v>
      </c>
      <c r="M25" s="6">
        <f>5/12</f>
        <v>0.41666666666666669</v>
      </c>
    </row>
    <row r="26" spans="1:13" x14ac:dyDescent="0.25">
      <c r="D26" s="64" t="s">
        <v>11</v>
      </c>
      <c r="E26" s="21">
        <f>E18/I18</f>
        <v>0.86206896551724155</v>
      </c>
      <c r="F26" s="21">
        <f>F18/J18</f>
        <v>0.98507462686567171</v>
      </c>
      <c r="G26" s="21">
        <f>G18/K18</f>
        <v>0.96551724137931005</v>
      </c>
      <c r="I26">
        <v>4</v>
      </c>
      <c r="J26" t="s">
        <v>11</v>
      </c>
      <c r="K26" s="21">
        <f>(E26*M25)+(F26*M26)+(G26*M27)</f>
        <v>0.92893292159890206</v>
      </c>
      <c r="L26" s="4" t="s">
        <v>26</v>
      </c>
      <c r="M26" s="6">
        <f>4/12</f>
        <v>0.33333333333333331</v>
      </c>
    </row>
    <row r="27" spans="1:13" x14ac:dyDescent="0.25">
      <c r="D27" s="64" t="s">
        <v>10</v>
      </c>
      <c r="E27" s="21">
        <f>E19/I18</f>
        <v>1</v>
      </c>
      <c r="F27" s="21">
        <f>F19/J18</f>
        <v>0.67164179104477617</v>
      </c>
      <c r="G27" s="21">
        <f>G19/K18</f>
        <v>1</v>
      </c>
      <c r="I27">
        <v>5</v>
      </c>
      <c r="J27" t="s">
        <v>10</v>
      </c>
      <c r="K27" s="21">
        <f>(E27*M25)+(F27*M26)+(G27*M27)</f>
        <v>0.89054726368159209</v>
      </c>
      <c r="L27" s="4" t="s">
        <v>27</v>
      </c>
      <c r="M27" s="6">
        <f>3/12</f>
        <v>0.25</v>
      </c>
    </row>
    <row r="28" spans="1:13" x14ac:dyDescent="0.25">
      <c r="D28" s="64" t="s">
        <v>9</v>
      </c>
      <c r="E28" s="21">
        <f>E20/I18</f>
        <v>1</v>
      </c>
      <c r="F28" s="21">
        <f>F20/J18</f>
        <v>0.89552238805970152</v>
      </c>
      <c r="G28" s="21">
        <f>G20/K18</f>
        <v>0.96551724137931005</v>
      </c>
      <c r="I28">
        <v>2</v>
      </c>
      <c r="J28" t="s">
        <v>9</v>
      </c>
      <c r="K28" s="21">
        <f>(E28*M25)+(F28*M26)+(G28*M27)</f>
        <v>0.95655343969806139</v>
      </c>
      <c r="L28" s="62" t="s">
        <v>23</v>
      </c>
      <c r="M28" s="7">
        <f>SUM(M25:M27)</f>
        <v>1</v>
      </c>
    </row>
    <row r="29" spans="1:13" x14ac:dyDescent="0.25">
      <c r="D29" s="64" t="s">
        <v>8</v>
      </c>
      <c r="E29" s="21">
        <f>E21/I18</f>
        <v>0.90344827586206911</v>
      </c>
      <c r="F29" s="21">
        <f>F21/J18</f>
        <v>1</v>
      </c>
      <c r="G29" s="21">
        <f>G21/K18</f>
        <v>1</v>
      </c>
      <c r="I29">
        <v>1</v>
      </c>
      <c r="J29" t="s">
        <v>8</v>
      </c>
      <c r="K29" s="21">
        <f>(E29*M25)+(F29*M26)+(G29*M27)</f>
        <v>0.95977011494252884</v>
      </c>
    </row>
    <row r="30" spans="1:13" x14ac:dyDescent="0.25">
      <c r="D30" s="64" t="s">
        <v>7</v>
      </c>
      <c r="E30" s="21">
        <f>E22/I18</f>
        <v>1</v>
      </c>
      <c r="F30" s="21">
        <f>F22/J18</f>
        <v>0.98507462686567171</v>
      </c>
      <c r="G30" s="21">
        <f>G22/K18</f>
        <v>0.75862068965517215</v>
      </c>
      <c r="I30">
        <v>3</v>
      </c>
      <c r="J30" t="s">
        <v>7</v>
      </c>
      <c r="K30" s="21">
        <f>(E30*M25)+(F30*M26)+(G30*M27)</f>
        <v>0.93468004803568361</v>
      </c>
    </row>
  </sheetData>
  <mergeCells count="8">
    <mergeCell ref="D24:G24"/>
    <mergeCell ref="L24:M24"/>
    <mergeCell ref="A1:B1"/>
    <mergeCell ref="A2:B2"/>
    <mergeCell ref="D7:G7"/>
    <mergeCell ref="A9:B9"/>
    <mergeCell ref="A15:B15"/>
    <mergeCell ref="D16:G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 MENENTUKAN ALTERNATIF, K</vt:lpstr>
      <vt:lpstr>MENYUSUN MATRIK KEPUTUSAN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arifin</dc:creator>
  <cp:lastModifiedBy>imam arifin</cp:lastModifiedBy>
  <dcterms:created xsi:type="dcterms:W3CDTF">2026-06-12T13:27:06Z</dcterms:created>
  <dcterms:modified xsi:type="dcterms:W3CDTF">2026-07-13T04:09:17Z</dcterms:modified>
</cp:coreProperties>
</file>